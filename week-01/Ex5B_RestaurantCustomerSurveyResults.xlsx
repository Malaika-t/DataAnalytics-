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mtariq_my_yearupunited_org/Documents/"/>
    </mc:Choice>
  </mc:AlternateContent>
  <xr:revisionPtr revIDLastSave="0" documentId="8_{B010C253-6C45-467F-B0CA-4C7E1C6B90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ponses" sheetId="34" r:id="rId1"/>
    <sheet name="Pie Chart" sheetId="37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4" l="1"/>
  <c r="L14" i="34"/>
  <c r="J14" i="34"/>
  <c r="H14" i="34"/>
  <c r="G14" i="34"/>
  <c r="K14" i="34"/>
  <c r="N14" i="34"/>
  <c r="M14" i="34"/>
  <c r="D5" i="34"/>
  <c r="D6" i="34"/>
  <c r="D7" i="34"/>
  <c r="D8" i="34"/>
  <c r="D9" i="34"/>
  <c r="D10" i="34"/>
  <c r="D11" i="34"/>
  <c r="D12" i="34"/>
  <c r="D13" i="34"/>
  <c r="D4" i="34"/>
  <c r="D3" i="34"/>
  <c r="D2" i="34"/>
  <c r="D14" i="34" l="1"/>
</calcChain>
</file>

<file path=xl/sharedStrings.xml><?xml version="1.0" encoding="utf-8"?>
<sst xmlns="http://schemas.openxmlformats.org/spreadsheetml/2006/main" count="136" uniqueCount="58">
  <si>
    <t>Id</t>
  </si>
  <si>
    <t>Start time</t>
  </si>
  <si>
    <t>Completion time</t>
  </si>
  <si>
    <t>Time to complete</t>
  </si>
  <si>
    <t>Email</t>
  </si>
  <si>
    <t>Name</t>
  </si>
  <si>
    <t xml:space="preserve">How often do you visit Brew Cafe?
</t>
  </si>
  <si>
    <t>How do you feel about your overall experience today?</t>
  </si>
  <si>
    <t>What did you order today? Select all that apply</t>
  </si>
  <si>
    <t>How was the speed of service today? </t>
  </si>
  <si>
    <t>How likely are you to join a rewards loyalty program if we launched one ?</t>
  </si>
  <si>
    <t>Which rewards perk sounds most appealing to you?</t>
  </si>
  <si>
    <t>Overall, how would you rate our product?</t>
  </si>
  <si>
    <t>How likely are you to recommend us to a friend/colleague/family memeber?</t>
  </si>
  <si>
    <t xml:space="preserve">Was there anything about your visit that could have been better?
</t>
  </si>
  <si>
    <t>What did you enjoy most about your visit?</t>
  </si>
  <si>
    <t>anonymous</t>
  </si>
  <si>
    <t>Monthly</t>
  </si>
  <si>
    <t>🙂 Happy</t>
  </si>
  <si>
    <t>Food Item </t>
  </si>
  <si>
    <t>Good</t>
  </si>
  <si>
    <t>Very likely</t>
  </si>
  <si>
    <t>Points redeemable for discounts</t>
  </si>
  <si>
    <t>This is my first visit </t>
  </si>
  <si>
    <t>🙁 Unhappy  </t>
  </si>
  <si>
    <t>Drip Coffee</t>
  </si>
  <si>
    <t>Average</t>
  </si>
  <si>
    <t>Very unlikely</t>
  </si>
  <si>
    <t>😄 Very Happy</t>
  </si>
  <si>
    <t>Expresso/Latte/Cappuccino</t>
  </si>
  <si>
    <t>Very good</t>
  </si>
  <si>
    <t>Stamp card (Free drink after every 6th purchase)</t>
  </si>
  <si>
    <t>Hot Coffee</t>
  </si>
  <si>
    <t>Better Taste</t>
  </si>
  <si>
    <t>Ambiance</t>
  </si>
  <si>
    <t>Daily</t>
  </si>
  <si>
    <t>Somewhat likely</t>
  </si>
  <si>
    <t xml:space="preserve">Everything is good </t>
  </si>
  <si>
    <t>Iced or cold brew</t>
  </si>
  <si>
    <t>Weekly</t>
  </si>
  <si>
    <t>Matcha </t>
  </si>
  <si>
    <t>Fair</t>
  </si>
  <si>
    <t>Neither likely nor unlikely</t>
  </si>
  <si>
    <t>Birthday Rewards</t>
  </si>
  <si>
    <t xml:space="preserve">Overall It was a good experience. </t>
  </si>
  <si>
    <t xml:space="preserve">Everything </t>
  </si>
  <si>
    <t>😐 Neutral</t>
  </si>
  <si>
    <t>Exclusive Deals </t>
  </si>
  <si>
    <t>I am fully satisfied with everything.</t>
  </si>
  <si>
    <t xml:space="preserve">My coffee ofc </t>
  </si>
  <si>
    <t>Seating arrangement could be improved for better comfort.</t>
  </si>
  <si>
    <t xml:space="preserve">The overall atmosphere, music and service </t>
  </si>
  <si>
    <t>I wish the bathrooms were cleaner</t>
  </si>
  <si>
    <t>The quick service so I can continue my day</t>
  </si>
  <si>
    <t>Atmosphere</t>
  </si>
  <si>
    <t>Row Labels</t>
  </si>
  <si>
    <t xml:space="preserve">Count of How often do you visit Brew Cafe?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</si>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</sst>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\ hh:mm:ss"/>
    </dxf>
    <dxf>
      <numFmt numFmtId="28" formatCode="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[Ex5B_RestaurantCustomerSurveyResults.xlsx]Pie 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95-493C-9998-15487826F4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95-493C-9998-15487826F4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95-493C-9998-15487826F4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95-493C-9998-15487826F4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95-493C-9998-15487826F4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95-493C-9998-15487826F4D5}"/>
              </c:ext>
            </c:extLst>
          </c:dPt>
          <c:cat>
            <c:strRef>
              <c:f>'Pie Chart'!$A$4:$A$10</c:f>
              <c:strCache>
                <c:ptCount val="6"/>
                <c:pt idx="0">
                  <c:v>Drip Coffee</c:v>
                </c:pt>
                <c:pt idx="1">
                  <c:v>Expresso/Latte/Cappuccino</c:v>
                </c:pt>
                <c:pt idx="2">
                  <c:v>Food Item </c:v>
                </c:pt>
                <c:pt idx="3">
                  <c:v>Hot Coffee</c:v>
                </c:pt>
                <c:pt idx="4">
                  <c:v>Iced or cold brew</c:v>
                </c:pt>
                <c:pt idx="5">
                  <c:v>Matcha </c:v>
                </c:pt>
              </c:strCache>
            </c:strRef>
          </c:cat>
          <c:val>
            <c:numRef>
              <c:f>'Pie Chart'!$B$4:$B$10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A-4BC2-83A4-C1447102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177800</xdr:rowOff>
    </xdr:from>
    <xdr:to>
      <xdr:col>12</xdr:col>
      <xdr:colOff>19050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C202B-AA49-3667-8876-3E27BD9A8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ika tariq" refreshedDate="46125.003772222219" createdVersion="8" refreshedVersion="8" minRefreshableVersion="3" recordCount="12" xr:uid="{DB8B7834-1112-4B6E-8890-B0BDE27B2578}">
  <cacheSource type="worksheet">
    <worksheetSource name="OfficeForms.Table"/>
  </cacheSource>
  <cacheFields count="16">
    <cacheField name="Id" numFmtId="0">
      <sharedItems containsSemiMixedTypes="0" containsString="0" containsNumber="1" containsInteger="1" minValue="1" maxValue="12"/>
    </cacheField>
    <cacheField name="Start time" numFmtId="164">
      <sharedItems containsSemiMixedTypes="0" containsNonDate="0" containsDate="1" containsString="0" minDate="2026-04-10T04:45:11" maxDate="2026-04-10T17:42:38"/>
    </cacheField>
    <cacheField name="Completion time" numFmtId="164">
      <sharedItems containsSemiMixedTypes="0" containsNonDate="0" containsDate="1" containsString="0" minDate="2026-04-10T04:48:18" maxDate="2026-04-10T17:44:44"/>
    </cacheField>
    <cacheField name="Time to complete" numFmtId="45">
      <sharedItems containsSemiMixedTypes="0" containsNonDate="0" containsDate="1" containsString="0" minDate="1899-12-30T00:00:41" maxDate="1899-12-30T00:05:24"/>
    </cacheField>
    <cacheField name="Email" numFmtId="49">
      <sharedItems/>
    </cacheField>
    <cacheField name="Name" numFmtId="49">
      <sharedItems/>
    </cacheField>
    <cacheField name="How often do you visit Brew Cafe?_x000a_" numFmtId="0">
      <sharedItems count="4">
        <s v="Monthly"/>
        <s v="This is my first visit "/>
        <s v="Daily"/>
        <s v="Weekly"/>
      </sharedItems>
    </cacheField>
    <cacheField name="How do you feel about your overall experience today?" numFmtId="0">
      <sharedItems/>
    </cacheField>
    <cacheField name="What did you order today? Select all that apply" numFmtId="0">
      <sharedItems count="6">
        <s v="Food Item "/>
        <s v="Drip Coffee"/>
        <s v="Expresso/Latte/Cappuccino"/>
        <s v="Hot Coffee"/>
        <s v="Iced or cold brew"/>
        <s v="Matcha "/>
      </sharedItems>
    </cacheField>
    <cacheField name="How was the speed of service today? " numFmtId="0">
      <sharedItems/>
    </cacheField>
    <cacheField name="How likely are you to join a rewards loyalty program if we launched one ?" numFmtId="0">
      <sharedItems/>
    </cacheField>
    <cacheField name="Which rewards perk sounds most appealing to you?" numFmtId="0">
      <sharedItems/>
    </cacheField>
    <cacheField name="Overall, how would you rate our product?" numFmtId="0">
      <sharedItems containsSemiMixedTypes="0" containsString="0" containsNumber="1" containsInteger="1" minValue="4" maxValue="10"/>
    </cacheField>
    <cacheField name="How likely are you to recommend us to a friend/colleague/family memeber?" numFmtId="0">
      <sharedItems containsSemiMixedTypes="0" containsString="0" containsNumber="1" containsInteger="1" minValue="3" maxValue="10"/>
    </cacheField>
    <cacheField name="Was there anything about your visit that could have been better?_x000a_" numFmtId="0">
      <sharedItems containsBlank="1"/>
    </cacheField>
    <cacheField name="What did you enjoy most about your visit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d v="2026-04-10T04:45:11"/>
    <d v="2026-04-10T04:48:18"/>
    <d v="1899-12-30T00:03:07"/>
    <s v="anonymous"/>
    <s v="anonymous"/>
    <x v="0"/>
    <s v="🙂 Happy"/>
    <x v="0"/>
    <s v="Good"/>
    <s v="Very likely"/>
    <s v="Points redeemable for discounts"/>
    <n v="9"/>
    <n v="10"/>
    <m/>
    <m/>
  </r>
  <r>
    <n v="2"/>
    <d v="2026-04-10T08:19:16"/>
    <d v="2026-04-10T08:22:41"/>
    <d v="1899-12-30T00:03:25"/>
    <s v="anonymous"/>
    <s v="anonymous"/>
    <x v="1"/>
    <s v="🙁 Unhappy  "/>
    <x v="1"/>
    <s v="Average"/>
    <s v="Very unlikely"/>
    <s v="Points redeemable for discounts"/>
    <n v="4"/>
    <n v="3"/>
    <m/>
    <m/>
  </r>
  <r>
    <n v="3"/>
    <d v="2026-04-10T09:26:03"/>
    <d v="2026-04-10T09:26:56"/>
    <d v="1899-12-30T00:00:53"/>
    <s v="anonymous"/>
    <s v="anonymous"/>
    <x v="0"/>
    <s v="😄 Very Happy"/>
    <x v="2"/>
    <s v="Very good"/>
    <s v="Very likely"/>
    <s v="Stamp card (Free drink after every 6th purchase)"/>
    <n v="10"/>
    <n v="10"/>
    <m/>
    <m/>
  </r>
  <r>
    <n v="4"/>
    <d v="2026-04-10T10:46:32"/>
    <d v="2026-04-10T10:50:02"/>
    <d v="1899-12-30T00:03:30"/>
    <s v="anonymous"/>
    <s v="anonymous"/>
    <x v="1"/>
    <s v="🙂 Happy"/>
    <x v="3"/>
    <s v="Good"/>
    <s v="Very likely"/>
    <s v="Points redeemable for discounts"/>
    <n v="8"/>
    <n v="7"/>
    <s v="Better Taste"/>
    <s v="Ambiance"/>
  </r>
  <r>
    <n v="5"/>
    <d v="2026-04-10T11:12:36"/>
    <d v="2026-04-10T11:13:51"/>
    <d v="1899-12-30T00:01:15"/>
    <s v="anonymous"/>
    <s v="anonymous"/>
    <x v="2"/>
    <s v="😄 Very Happy"/>
    <x v="2"/>
    <s v="Very good"/>
    <s v="Somewhat likely"/>
    <s v="Points redeemable for discounts"/>
    <n v="10"/>
    <n v="9"/>
    <s v="Everything is good "/>
    <s v="Everything is good "/>
  </r>
  <r>
    <n v="6"/>
    <d v="2026-04-10T11:14:56"/>
    <d v="2026-04-10T11:15:37"/>
    <d v="1899-12-30T00:00:41"/>
    <s v="anonymous"/>
    <s v="anonymous"/>
    <x v="2"/>
    <s v="🙂 Happy"/>
    <x v="2"/>
    <s v="Very good"/>
    <s v="Very likely"/>
    <s v="Stamp card (Free drink after every 6th purchase)"/>
    <n v="10"/>
    <n v="10"/>
    <s v="Everything is good "/>
    <s v="Everything is good "/>
  </r>
  <r>
    <n v="7"/>
    <d v="2026-04-10T11:28:41"/>
    <d v="2026-04-10T11:31:45"/>
    <d v="1899-12-30T00:03:04"/>
    <s v="anonymous"/>
    <s v="anonymous"/>
    <x v="1"/>
    <s v="😄 Very Happy"/>
    <x v="4"/>
    <s v="Very good"/>
    <s v="Somewhat likely"/>
    <s v="Stamp card (Free drink after every 6th purchase)"/>
    <n v="10"/>
    <n v="9"/>
    <m/>
    <m/>
  </r>
  <r>
    <n v="8"/>
    <d v="2026-04-10T16:18:19"/>
    <d v="2026-04-10T16:21:16"/>
    <d v="1899-12-30T00:02:57"/>
    <s v="anonymous"/>
    <s v="anonymous"/>
    <x v="3"/>
    <s v="😄 Very Happy"/>
    <x v="5"/>
    <s v="Fair"/>
    <s v="Neither likely nor unlikely"/>
    <s v="Birthday Rewards"/>
    <n v="8"/>
    <n v="9"/>
    <s v="Overall It was a good experience. "/>
    <s v="Everything "/>
  </r>
  <r>
    <n v="9"/>
    <d v="2026-04-10T16:21:27"/>
    <d v="2026-04-10T16:23:05"/>
    <d v="1899-12-30T00:01:38"/>
    <s v="anonymous"/>
    <s v="anonymous"/>
    <x v="3"/>
    <s v="😐 Neutral"/>
    <x v="0"/>
    <s v="Very good"/>
    <s v="Very likely"/>
    <s v="Exclusive Deals "/>
    <n v="10"/>
    <n v="8"/>
    <s v="I am fully satisfied with everything."/>
    <s v="My coffee ofc "/>
  </r>
  <r>
    <n v="10"/>
    <d v="2026-04-10T16:23:11"/>
    <d v="2026-04-10T16:28:35"/>
    <d v="1899-12-30T00:05:24"/>
    <s v="anonymous"/>
    <s v="anonymous"/>
    <x v="0"/>
    <s v="🙂 Happy"/>
    <x v="1"/>
    <s v="Average"/>
    <s v="Somewhat likely"/>
    <s v="Birthday Rewards"/>
    <n v="7"/>
    <n v="9"/>
    <s v="Seating arrangement could be improved for better comfort."/>
    <s v="The overall atmosphere, music and service "/>
  </r>
  <r>
    <n v="11"/>
    <d v="2026-04-10T17:30:05"/>
    <d v="2026-04-10T17:32:04"/>
    <d v="1899-12-30T00:01:59"/>
    <s v="anonymous"/>
    <s v="anonymous"/>
    <x v="3"/>
    <s v="🙂 Happy"/>
    <x v="2"/>
    <s v="Very good"/>
    <s v="Very likely"/>
    <s v="Exclusive Deals "/>
    <n v="9"/>
    <n v="10"/>
    <s v="I wish the bathrooms were cleaner"/>
    <s v="The quick service so I can continue my day"/>
  </r>
  <r>
    <n v="12"/>
    <d v="2026-04-10T17:42:38"/>
    <d v="2026-04-10T17:44:44"/>
    <d v="1899-12-30T00:02:06"/>
    <s v="anonymous"/>
    <s v="anonymous"/>
    <x v="1"/>
    <s v="🙂 Happy"/>
    <x v="2"/>
    <s v="Average"/>
    <s v="Very likely"/>
    <s v="Points redeemable for discounts"/>
    <n v="8"/>
    <n v="8"/>
    <m/>
    <s v="Atmosphe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6AD1E-ABE7-4DA3-85E4-7E3554362C0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6">
    <pivotField showAll="0"/>
    <pivotField numFmtId="164" showAll="0"/>
    <pivotField numFmtId="164" showAll="0"/>
    <pivotField numFmtId="45" showAll="0"/>
    <pivotField showAll="0"/>
    <pivotField showAll="0"/>
    <pivotField dataField="1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How often do you visit Brew Cafe?_x000a_" fld="6" subtotal="count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14" totalsRowCount="1">
  <autoFilter ref="A1:P13" xr:uid="{00000000-0009-0000-0100-000001000000}"/>
  <tableColumns count="16">
    <tableColumn id="1" xr3:uid="{00000000-0010-0000-0000-000001000000}" name="Id" dataDxfId="26" totalsRow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27" xr3:uid="{16581BB5-FA03-460B-8DD2-BDC1282A2D0F}" name="Time to complete" totalsRowFunction="average" dataDxfId="24" totalsRowDxfId="25">
      <calculatedColumnFormula>C2-B2</calculatedColumnFormula>
    </tableColumn>
    <tableColumn id="4" xr3:uid="{00000000-0010-0000-0000-000004000000}" name="Email" dataDxfId="22" totalsRowDxfId="2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 totalsRowDxfId="2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17" xr3:uid="{1EB08523-A56D-4C58-94A2-2754F8A12FA3}" name="How often do you visit Brew Cafe?_x000a_" totalsRowFunction="custom" dataDxfId="18" totalsRowDxfId="19">
      <totalsRowFormula>SUM(COUNTIF(G2:G13,"Monthly"),COUNTIF(G2:G13,"This is my first visit"), COUNTIF(G2:G13,"Daily"), COUNTIF(G2:G13,"Weekly"))</totalsRowFormula>
      <extLst>
        <ext xmlns:xlmsforms="http://schemas.microsoft.com/office/spreadsheetml/2023/msForms" uri="{FCC71383-01E1-4257-9335-427F07BE8D7F}">
          <xlmsforms:question id="r6a21afe322a74da19369576c0cc58c0c"/>
        </ext>
      </extLst>
    </tableColumn>
    <tableColumn id="18" xr3:uid="{1BC7126E-F0E2-447E-8D5B-EEF3D4C941D6}" name="How do you feel about your overall experience today?" totalsRowFunction="custom" dataDxfId="16" totalsRowDxfId="17">
      <totalsRowFormula>SUM(COUNTIF(H2:H13,"🙂 Happy"), COUNTIF(H2:H13,"🙁 Unhappy  "), COUNTIF(H2:H13,"😄 Very Happy"), COUNTIF(H2:H13,"😐 Neutral"))</totalsRowFormula>
      <extLst>
        <ext xmlns:xlmsforms="http://schemas.microsoft.com/office/spreadsheetml/2023/msForms" uri="{FCC71383-01E1-4257-9335-427F07BE8D7F}">
          <xlmsforms:question id="r308ace7ca81a47648cf3f7b75107a890"/>
        </ext>
      </extLst>
    </tableColumn>
    <tableColumn id="19" xr3:uid="{091D2459-C110-413F-A29E-0EB0AC51F172}" name="What did you order today? Select all that apply" totalsRowFunction="custom" dataDxfId="14" totalsRowDxfId="15">
      <totalsRowFormula>SUM(COUNTIF(I2:I13,"Food Item"),COUNTIF(I2:I13,"Drip Coffee"),COUNTIF(I2:I13,"Expresso/Latte/Cappuccino"),COUNTIF(I2:I13,"Hot Coffee"),COUNTIF(I2:I13,"Matcha"), COUNTIF(I2:I13,"Iced or cold brew"))</totalsRowFormula>
      <extLst>
        <ext xmlns:xlmsforms="http://schemas.microsoft.com/office/spreadsheetml/2023/msForms" uri="{FCC71383-01E1-4257-9335-427F07BE8D7F}">
          <xlmsforms:question id="r6aaba0c9972f4326b3ff4e834253d3a6"/>
        </ext>
      </extLst>
    </tableColumn>
    <tableColumn id="20" xr3:uid="{51029207-8143-4711-BB78-3F3AF7B23930}" name="How was the speed of service today? " totalsRowFunction="custom" dataDxfId="12" totalsRowDxfId="13">
      <totalsRowFormula>SUM(COUNTIF(J2:J13,"Good"), COUNTIF(J2:J13,"Average"), COUNTIF(J2:J13,"Very good"), COUNTIF(J2:J13,"Fair"))</totalsRowFormula>
      <extLst>
        <ext xmlns:xlmsforms="http://schemas.microsoft.com/office/spreadsheetml/2023/msForms" uri="{FCC71383-01E1-4257-9335-427F07BE8D7F}">
          <xlmsforms:question id="r5ab1c7f63b0d41d9bed5f2d0a0141052"/>
        </ext>
      </extLst>
    </tableColumn>
    <tableColumn id="21" xr3:uid="{48DE85B9-4EBB-4D5A-B42E-4CA811890B45}" name="How likely are you to join a rewards loyalty program if we launched one ?" totalsRowFunction="custom" dataDxfId="10" totalsRowDxfId="11">
      <totalsRowFormula>SUM(COUNTIF(K2:K13,"Very likely"),COUNTIF(K2:K13,"Somewhat likely"),COUNTIF(K2:K13,"Neither likely nor unlikely"),COUNTIF(K2:K13,"Very unlikely"))</totalsRowFormula>
      <extLst>
        <ext xmlns:xlmsforms="http://schemas.microsoft.com/office/spreadsheetml/2023/msForms" uri="{FCC71383-01E1-4257-9335-427F07BE8D7F}">
          <xlmsforms:question id="r9bacb33fb95548ca967112cac4fb40fe"/>
        </ext>
      </extLst>
    </tableColumn>
    <tableColumn id="22" xr3:uid="{2F5D0E0D-1A3C-431F-A682-6D6FB82275ED}" name="Which rewards perk sounds most appealing to you?" totalsRowFunction="custom" dataDxfId="8" totalsRowDxfId="9">
      <totalsRowFormula>SUM(COUNTIF(L2:L13,"Points redeemable for discounts"), COUNTIF(L2:L13,"Stamp card(Free drink after every 6th purchase)"), COUNTIF(L2:L13,"Birthday Rewards"), COUNTIF(L2:L13,"Exclusive Deals"))</totalsRowFormula>
      <extLst>
        <ext xmlns:xlmsforms="http://schemas.microsoft.com/office/spreadsheetml/2023/msForms" uri="{FCC71383-01E1-4257-9335-427F07BE8D7F}">
          <xlmsforms:question id="rd2869676001b4dbca86861da96f2f645"/>
        </ext>
      </extLst>
    </tableColumn>
    <tableColumn id="23" xr3:uid="{8C2CF3F3-23B7-433F-8658-F23272ED61A0}" name="Overall, how would you rate our product?" totalsRowFunction="average" dataDxfId="6" totalsRowDxfId="7">
      <extLst>
        <ext xmlns:xlmsforms="http://schemas.microsoft.com/office/spreadsheetml/2023/msForms" uri="{FCC71383-01E1-4257-9335-427F07BE8D7F}">
          <xlmsforms:question id="r0e2d8bdebaab4b37a7c203ac95417d7a"/>
        </ext>
      </extLst>
    </tableColumn>
    <tableColumn id="24" xr3:uid="{1A801EC4-6A8F-45D0-9863-18D51C2790D3}" name="How likely are you to recommend us to a friend/colleague/family memeber?" totalsRowFunction="average" dataDxfId="4" totalsRowDxfId="5">
      <extLst>
        <ext xmlns:xlmsforms="http://schemas.microsoft.com/office/spreadsheetml/2023/msForms" uri="{FCC71383-01E1-4257-9335-427F07BE8D7F}">
          <xlmsforms:question id="r73116b71bf7648b797a7a0d121df513f"/>
        </ext>
      </extLst>
    </tableColumn>
    <tableColumn id="25" xr3:uid="{B4AF133E-9988-4566-89AE-957B67E5A80B}" name="Was there anything about your visit that could have been better?_x000a_" dataDxfId="2" totalsRowDxfId="3">
      <extLst>
        <ext xmlns:xlmsforms="http://schemas.microsoft.com/office/spreadsheetml/2023/msForms" uri="{FCC71383-01E1-4257-9335-427F07BE8D7F}">
          <xlmsforms:question id="r1401cf13af40444c8185eb63a57e0f92"/>
        </ext>
      </extLst>
    </tableColumn>
    <tableColumn id="26" xr3:uid="{B8D7A978-8826-467B-8EB5-3BC6A343FE56}" name="What did you enjoy most about your visit?" dataDxfId="0" totalsRowDxfId="1">
      <extLst>
        <ext xmlns:xlmsforms="http://schemas.microsoft.com/office/spreadsheetml/2023/msForms" uri="{FCC71383-01E1-4257-9335-427F07BE8D7F}">
          <xlmsforms:question id="r625bf3dc6f1c4432b5b5daf7c621d35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505T4pjaPpPu7Rj5GFmVQxUMFlZQTYxREhDRjFUOFNIV1lRUU5MSE9IWC4u" isFormConnected="1" maxResponseId="12" latestEventMarker="10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ra62f41a88fa449d2a6049d4d068a1613</xlmsforms:syncedQuestionId>
        <xlmsforms:syncedQuestionId>r6181d07df61c4ef596992ad757ba7911</xlmsforms:syncedQuestionId>
        <xlmsforms:syncedQuestionId>rdb121799009d48ec8d69ae92f516224c</xlmsforms:syncedQuestionId>
        <xlmsforms:syncedQuestionId>r7a56f2e91f4144198ac7d8982567de79</xlmsforms:syncedQuestionId>
        <xlmsforms:syncedQuestionId>ra00d4a4eec51460492fcf9fe5890571b</xlmsforms:syncedQuestionId>
        <xlmsforms:syncedQuestionId>rf9029bb6b706408aa6551fe17bfcf989</xlmsforms:syncedQuestionId>
        <xlmsforms:syncedQuestionId>rb387035bfe0140eb85bc6cf060e0f125</xlmsforms:syncedQuestionId>
        <xlmsforms:syncedQuestionId>r44cbbde5dc904f1eb46b6646ee34805b</xlmsforms:syncedQuestionId>
        <xlmsforms:syncedQuestionId>rfd3f29e3cbf549c691b491d19919d39f</xlmsforms:syncedQuestionId>
        <xlmsforms:syncedQuestionId>ra49f7fffdb0a4ec58ed36c0062ddcffe</xlmsforms:syncedQuestionId>
        <xlmsforms:syncedQuestionId>r1ed36ec952b0447d8bb7d354e635cf2b</xlmsforms:syncedQuestionId>
        <xlmsforms:syncedQuestionId>r6a21afe322a74da19369576c0cc58c0c</xlmsforms:syncedQuestionId>
        <xlmsforms:syncedQuestionId>r308ace7ca81a47648cf3f7b75107a890</xlmsforms:syncedQuestionId>
        <xlmsforms:syncedQuestionId>r6aaba0c9972f4326b3ff4e834253d3a6</xlmsforms:syncedQuestionId>
        <xlmsforms:syncedQuestionId>r5ab1c7f63b0d41d9bed5f2d0a0141052</xlmsforms:syncedQuestionId>
        <xlmsforms:syncedQuestionId>r9bacb33fb95548ca967112cac4fb40fe</xlmsforms:syncedQuestionId>
        <xlmsforms:syncedQuestionId>rd2869676001b4dbca86861da96f2f645</xlmsforms:syncedQuestionId>
        <xlmsforms:syncedQuestionId>r0e2d8bdebaab4b37a7c203ac95417d7a</xlmsforms:syncedQuestionId>
        <xlmsforms:syncedQuestionId>r73116b71bf7648b797a7a0d121df513f</xlmsforms:syncedQuestionId>
        <xlmsforms:syncedQuestionId>r1401cf13af40444c8185eb63a57e0f92</xlmsforms:syncedQuestionId>
        <xlmsforms:syncedQuestionId>r625bf3dc6f1c4432b5b5daf7c621d359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0566-82F1-4012-A68C-538660AC8BD2}">
  <dimension ref="A1:P17"/>
  <sheetViews>
    <sheetView zoomScale="58" zoomScaleNormal="58" workbookViewId="0">
      <selection activeCell="I2" sqref="I2"/>
    </sheetView>
  </sheetViews>
  <sheetFormatPr defaultRowHeight="14.45"/>
  <cols>
    <col min="1" max="5" width="20" bestFit="1" customWidth="1"/>
    <col min="6" max="15" width="18.140625" customWidth="1"/>
    <col min="16" max="16" width="20" bestFit="1" customWidth="1"/>
  </cols>
  <sheetData>
    <row r="1" spans="1:16" ht="72.5999999999999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9.1">
      <c r="A2">
        <v>1</v>
      </c>
      <c r="B2" s="4">
        <v>46122.198043981502</v>
      </c>
      <c r="C2" s="4">
        <v>46122.200208333299</v>
      </c>
      <c r="D2" s="5">
        <f t="shared" ref="D2:D13" si="0">C2-B2</f>
        <v>2.1643517975462601E-3</v>
      </c>
      <c r="E2" s="1" t="s">
        <v>16</v>
      </c>
      <c r="F2" s="1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>
        <v>9</v>
      </c>
      <c r="N2" s="3">
        <v>10</v>
      </c>
      <c r="O2" s="3"/>
      <c r="P2" s="3"/>
    </row>
    <row r="3" spans="1:16" ht="29.1">
      <c r="A3">
        <v>2</v>
      </c>
      <c r="B3" s="4">
        <v>46122.346712963001</v>
      </c>
      <c r="C3" s="4">
        <v>46122.349085648202</v>
      </c>
      <c r="D3" s="5">
        <f t="shared" si="0"/>
        <v>2.3726852014078759E-3</v>
      </c>
      <c r="E3" s="1" t="s">
        <v>16</v>
      </c>
      <c r="F3" s="1" t="s">
        <v>16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22</v>
      </c>
      <c r="M3" s="3">
        <v>4</v>
      </c>
      <c r="N3" s="3">
        <v>3</v>
      </c>
      <c r="O3" s="3"/>
      <c r="P3" s="3"/>
    </row>
    <row r="4" spans="1:16" ht="43.5">
      <c r="A4">
        <v>3</v>
      </c>
      <c r="B4" s="4">
        <v>46122.393090277801</v>
      </c>
      <c r="C4" s="4">
        <v>46122.393703703703</v>
      </c>
      <c r="D4" s="5">
        <f t="shared" si="0"/>
        <v>6.1342590197455138E-4</v>
      </c>
      <c r="E4" s="1" t="s">
        <v>16</v>
      </c>
      <c r="F4" s="1" t="s">
        <v>16</v>
      </c>
      <c r="G4" s="3" t="s">
        <v>17</v>
      </c>
      <c r="H4" s="3" t="s">
        <v>28</v>
      </c>
      <c r="I4" s="3" t="s">
        <v>29</v>
      </c>
      <c r="J4" s="3" t="s">
        <v>30</v>
      </c>
      <c r="K4" s="3" t="s">
        <v>21</v>
      </c>
      <c r="L4" s="3" t="s">
        <v>31</v>
      </c>
      <c r="M4" s="3">
        <v>10</v>
      </c>
      <c r="N4" s="3">
        <v>10</v>
      </c>
      <c r="O4" s="3"/>
      <c r="P4" s="3"/>
    </row>
    <row r="5" spans="1:16" ht="29.1">
      <c r="A5">
        <v>4</v>
      </c>
      <c r="B5" s="4">
        <v>46122.448981481502</v>
      </c>
      <c r="C5" s="4">
        <v>46122.451412037</v>
      </c>
      <c r="D5" s="5">
        <f t="shared" si="0"/>
        <v>2.4305554979946464E-3</v>
      </c>
      <c r="E5" s="1" t="s">
        <v>16</v>
      </c>
      <c r="F5" s="1" t="s">
        <v>16</v>
      </c>
      <c r="G5" s="3" t="s">
        <v>23</v>
      </c>
      <c r="H5" s="3" t="s">
        <v>18</v>
      </c>
      <c r="I5" s="3" t="s">
        <v>32</v>
      </c>
      <c r="J5" s="3" t="s">
        <v>20</v>
      </c>
      <c r="K5" s="3" t="s">
        <v>21</v>
      </c>
      <c r="L5" s="3" t="s">
        <v>22</v>
      </c>
      <c r="M5" s="3">
        <v>8</v>
      </c>
      <c r="N5" s="3">
        <v>7</v>
      </c>
      <c r="O5" s="3" t="s">
        <v>33</v>
      </c>
      <c r="P5" s="3" t="s">
        <v>34</v>
      </c>
    </row>
    <row r="6" spans="1:16" ht="29.1">
      <c r="A6">
        <v>5</v>
      </c>
      <c r="B6" s="4">
        <v>46122.4670833333</v>
      </c>
      <c r="C6" s="4">
        <v>46122.467951388899</v>
      </c>
      <c r="D6" s="5">
        <f t="shared" si="0"/>
        <v>8.6805559840286151E-4</v>
      </c>
      <c r="E6" s="1" t="s">
        <v>16</v>
      </c>
      <c r="F6" s="1" t="s">
        <v>16</v>
      </c>
      <c r="G6" s="3" t="s">
        <v>35</v>
      </c>
      <c r="H6" s="3" t="s">
        <v>28</v>
      </c>
      <c r="I6" s="3" t="s">
        <v>29</v>
      </c>
      <c r="J6" s="3" t="s">
        <v>30</v>
      </c>
      <c r="K6" s="3" t="s">
        <v>36</v>
      </c>
      <c r="L6" s="3" t="s">
        <v>22</v>
      </c>
      <c r="M6" s="3">
        <v>10</v>
      </c>
      <c r="N6" s="3">
        <v>9</v>
      </c>
      <c r="O6" s="3" t="s">
        <v>37</v>
      </c>
      <c r="P6" s="3" t="s">
        <v>37</v>
      </c>
    </row>
    <row r="7" spans="1:16" ht="43.5">
      <c r="A7">
        <v>6</v>
      </c>
      <c r="B7" s="4">
        <v>46122.4687037037</v>
      </c>
      <c r="C7" s="4">
        <v>46122.469178240703</v>
      </c>
      <c r="D7" s="5">
        <f t="shared" si="0"/>
        <v>4.7453700244659558E-4</v>
      </c>
      <c r="E7" s="1" t="s">
        <v>16</v>
      </c>
      <c r="F7" s="1" t="s">
        <v>16</v>
      </c>
      <c r="G7" s="3" t="s">
        <v>35</v>
      </c>
      <c r="H7" s="3" t="s">
        <v>18</v>
      </c>
      <c r="I7" s="3" t="s">
        <v>29</v>
      </c>
      <c r="J7" s="3" t="s">
        <v>30</v>
      </c>
      <c r="K7" s="3" t="s">
        <v>21</v>
      </c>
      <c r="L7" s="3" t="s">
        <v>31</v>
      </c>
      <c r="M7" s="3">
        <v>10</v>
      </c>
      <c r="N7" s="3">
        <v>10</v>
      </c>
      <c r="O7" s="3" t="s">
        <v>37</v>
      </c>
      <c r="P7" s="3" t="s">
        <v>37</v>
      </c>
    </row>
    <row r="8" spans="1:16" ht="43.5">
      <c r="A8">
        <v>7</v>
      </c>
      <c r="B8" s="4">
        <v>46122.478252314802</v>
      </c>
      <c r="C8" s="4">
        <v>46122.480381944399</v>
      </c>
      <c r="D8" s="5">
        <f t="shared" si="0"/>
        <v>2.1296295963111334E-3</v>
      </c>
      <c r="E8" s="1" t="s">
        <v>16</v>
      </c>
      <c r="F8" s="1" t="s">
        <v>16</v>
      </c>
      <c r="G8" s="3" t="s">
        <v>23</v>
      </c>
      <c r="H8" s="3" t="s">
        <v>28</v>
      </c>
      <c r="I8" s="3" t="s">
        <v>38</v>
      </c>
      <c r="J8" s="3" t="s">
        <v>30</v>
      </c>
      <c r="K8" s="3" t="s">
        <v>36</v>
      </c>
      <c r="L8" s="3" t="s">
        <v>31</v>
      </c>
      <c r="M8" s="3">
        <v>10</v>
      </c>
      <c r="N8" s="3">
        <v>9</v>
      </c>
      <c r="O8" s="3"/>
      <c r="P8" s="3"/>
    </row>
    <row r="9" spans="1:16" ht="29.1">
      <c r="A9">
        <v>8</v>
      </c>
      <c r="B9" s="4">
        <v>46122.679386574098</v>
      </c>
      <c r="C9" s="4">
        <v>46122.681435185201</v>
      </c>
      <c r="D9" s="5">
        <f t="shared" si="0"/>
        <v>2.0486111025093123E-3</v>
      </c>
      <c r="E9" s="1" t="s">
        <v>16</v>
      </c>
      <c r="F9" s="1" t="s">
        <v>16</v>
      </c>
      <c r="G9" s="3" t="s">
        <v>39</v>
      </c>
      <c r="H9" s="3" t="s">
        <v>28</v>
      </c>
      <c r="I9" s="3" t="s">
        <v>40</v>
      </c>
      <c r="J9" s="3" t="s">
        <v>41</v>
      </c>
      <c r="K9" s="3" t="s">
        <v>42</v>
      </c>
      <c r="L9" s="3" t="s">
        <v>43</v>
      </c>
      <c r="M9" s="3">
        <v>8</v>
      </c>
      <c r="N9" s="3">
        <v>9</v>
      </c>
      <c r="O9" s="3" t="s">
        <v>44</v>
      </c>
      <c r="P9" s="3" t="s">
        <v>45</v>
      </c>
    </row>
    <row r="10" spans="1:16" ht="29.1">
      <c r="A10">
        <v>9</v>
      </c>
      <c r="B10" s="4">
        <v>46122.681562500002</v>
      </c>
      <c r="C10" s="4">
        <v>46122.682696759301</v>
      </c>
      <c r="D10" s="5">
        <f t="shared" si="0"/>
        <v>1.1342592988512479E-3</v>
      </c>
      <c r="E10" s="1" t="s">
        <v>16</v>
      </c>
      <c r="F10" s="1" t="s">
        <v>16</v>
      </c>
      <c r="G10" s="3" t="s">
        <v>39</v>
      </c>
      <c r="H10" s="3" t="s">
        <v>46</v>
      </c>
      <c r="I10" s="3" t="s">
        <v>19</v>
      </c>
      <c r="J10" s="3" t="s">
        <v>30</v>
      </c>
      <c r="K10" s="3" t="s">
        <v>21</v>
      </c>
      <c r="L10" s="3" t="s">
        <v>47</v>
      </c>
      <c r="M10" s="3">
        <v>10</v>
      </c>
      <c r="N10" s="3">
        <v>8</v>
      </c>
      <c r="O10" s="3" t="s">
        <v>48</v>
      </c>
      <c r="P10" s="3" t="s">
        <v>49</v>
      </c>
    </row>
    <row r="11" spans="1:16" ht="43.5">
      <c r="A11">
        <v>10</v>
      </c>
      <c r="B11" s="4">
        <v>46122.682766203703</v>
      </c>
      <c r="C11" s="4">
        <v>46122.686516203699</v>
      </c>
      <c r="D11" s="5">
        <f t="shared" si="0"/>
        <v>3.749999996216502E-3</v>
      </c>
      <c r="E11" s="1" t="s">
        <v>16</v>
      </c>
      <c r="F11" s="1" t="s">
        <v>16</v>
      </c>
      <c r="G11" s="3" t="s">
        <v>17</v>
      </c>
      <c r="H11" s="3" t="s">
        <v>18</v>
      </c>
      <c r="I11" s="3" t="s">
        <v>25</v>
      </c>
      <c r="J11" s="3" t="s">
        <v>26</v>
      </c>
      <c r="K11" s="3" t="s">
        <v>36</v>
      </c>
      <c r="L11" s="3" t="s">
        <v>43</v>
      </c>
      <c r="M11" s="3">
        <v>7</v>
      </c>
      <c r="N11" s="3">
        <v>9</v>
      </c>
      <c r="O11" s="3" t="s">
        <v>50</v>
      </c>
      <c r="P11" s="3" t="s">
        <v>51</v>
      </c>
    </row>
    <row r="12" spans="1:16" ht="29.1">
      <c r="A12">
        <v>11</v>
      </c>
      <c r="B12" s="4">
        <v>46122.729224536997</v>
      </c>
      <c r="C12" s="4">
        <v>46122.730601851901</v>
      </c>
      <c r="D12" s="5">
        <f t="shared" si="0"/>
        <v>1.3773149039479904E-3</v>
      </c>
      <c r="E12" s="1" t="s">
        <v>16</v>
      </c>
      <c r="F12" s="1" t="s">
        <v>16</v>
      </c>
      <c r="G12" s="3" t="s">
        <v>39</v>
      </c>
      <c r="H12" s="3" t="s">
        <v>18</v>
      </c>
      <c r="I12" s="3" t="s">
        <v>29</v>
      </c>
      <c r="J12" s="3" t="s">
        <v>30</v>
      </c>
      <c r="K12" s="3" t="s">
        <v>21</v>
      </c>
      <c r="L12" s="3" t="s">
        <v>47</v>
      </c>
      <c r="M12" s="3">
        <v>9</v>
      </c>
      <c r="N12" s="3">
        <v>10</v>
      </c>
      <c r="O12" s="3" t="s">
        <v>52</v>
      </c>
      <c r="P12" s="3" t="s">
        <v>53</v>
      </c>
    </row>
    <row r="13" spans="1:16" ht="29.1">
      <c r="A13">
        <v>12</v>
      </c>
      <c r="B13" s="4">
        <v>46122.737939814797</v>
      </c>
      <c r="C13" s="4">
        <v>46122.7393981481</v>
      </c>
      <c r="D13" s="5">
        <f t="shared" si="0"/>
        <v>1.4583333031623624E-3</v>
      </c>
      <c r="E13" s="1" t="s">
        <v>16</v>
      </c>
      <c r="F13" s="1" t="s">
        <v>16</v>
      </c>
      <c r="G13" s="3" t="s">
        <v>23</v>
      </c>
      <c r="H13" s="3" t="s">
        <v>18</v>
      </c>
      <c r="I13" s="3" t="s">
        <v>29</v>
      </c>
      <c r="J13" s="3" t="s">
        <v>26</v>
      </c>
      <c r="K13" s="3" t="s">
        <v>21</v>
      </c>
      <c r="L13" s="3" t="s">
        <v>22</v>
      </c>
      <c r="M13" s="3">
        <v>8</v>
      </c>
      <c r="N13" s="3">
        <v>8</v>
      </c>
      <c r="O13" s="3"/>
      <c r="P13" s="3" t="s">
        <v>54</v>
      </c>
    </row>
    <row r="14" spans="1:16">
      <c r="D14" s="5">
        <f>SUBTOTAL(101,OfficeForms.Table[Time to complete])</f>
        <v>1.7351466000642783E-3</v>
      </c>
      <c r="E14" s="1"/>
      <c r="F14" s="1"/>
      <c r="G14">
        <f>SUM(COUNTIF(G2:G13,"Monthly"),COUNTIF(G2:G13,"This is my first visit"), COUNTIF(G2:G13,"Daily"), COUNTIF(G2:G13,"Weekly"))</f>
        <v>8</v>
      </c>
      <c r="H14">
        <f>SUM(COUNTIF(H2:H13,"🙂 Happy"), COUNTIF(H2:H13,"🙁 Unhappy  "), COUNTIF(H2:H13,"😄 Very Happy"), COUNTIF(H2:H13,"😐 Neutral"))</f>
        <v>12</v>
      </c>
      <c r="I14">
        <f>SUM(COUNTIF(I2:I13,"Food Item"),COUNTIF(I2:I13,"Drip Coffee"),COUNTIF(I2:I13,"Expresso/Latte/Cappuccino"),COUNTIF(I2:I13,"Hot Coffee"),COUNTIF(I2:I13,"Matcha"), COUNTIF(I2:I13,"Iced or cold brew"))</f>
        <v>9</v>
      </c>
      <c r="J14">
        <f>SUM(COUNTIF(J2:J13,"Good"), COUNTIF(J2:J13,"Average"), COUNTIF(J2:J13,"Very good"), COUNTIF(J2:J13,"Fair"))</f>
        <v>12</v>
      </c>
      <c r="K14">
        <f>SUM(COUNTIF(K2:K13,"Very likely"),COUNTIF(K2:K13,"Somewhat likely"),COUNTIF(K2:K13,"Neither likely nor unlikely"),COUNTIF(K2:K13,"Very unlikely"))</f>
        <v>12</v>
      </c>
      <c r="L14">
        <f>SUM(COUNTIF(L2:L13,"Points redeemable for discounts"), COUNTIF(L2:L13,"Stamp card(Free drink after every 6th purchase)"), COUNTIF(L2:L13,"Birthday Rewards"), COUNTIF(L2:L13,"Exclusive Deals"))</f>
        <v>7</v>
      </c>
      <c r="M14">
        <f>SUBTOTAL(101,OfficeForms.Table[Overall, how would you rate our product?])</f>
        <v>8.5833333333333339</v>
      </c>
      <c r="N14">
        <f>SUBTOTAL(101,OfficeForms.Table[How likely are you to recommend us to a friend/colleague/family memeber?])</f>
        <v>8.5</v>
      </c>
    </row>
    <row r="17" spans="5:5">
      <c r="E1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242A-869F-4DA9-8925-DA8B0EDA72BD}">
  <dimension ref="A3:B10"/>
  <sheetViews>
    <sheetView workbookViewId="0">
      <selection activeCell="I2" sqref="I2"/>
    </sheetView>
  </sheetViews>
  <sheetFormatPr defaultRowHeight="14.45"/>
  <cols>
    <col min="1" max="1" width="23.5703125" bestFit="1" customWidth="1"/>
    <col min="2" max="2" width="37.42578125" bestFit="1" customWidth="1"/>
  </cols>
  <sheetData>
    <row r="3" spans="1:2">
      <c r="A3" s="6" t="s">
        <v>55</v>
      </c>
      <c r="B3" t="s">
        <v>56</v>
      </c>
    </row>
    <row r="4" spans="1:2">
      <c r="A4" s="7" t="s">
        <v>25</v>
      </c>
      <c r="B4">
        <v>2</v>
      </c>
    </row>
    <row r="5" spans="1:2">
      <c r="A5" s="7" t="s">
        <v>29</v>
      </c>
      <c r="B5">
        <v>5</v>
      </c>
    </row>
    <row r="6" spans="1:2">
      <c r="A6" s="7" t="s">
        <v>19</v>
      </c>
      <c r="B6">
        <v>2</v>
      </c>
    </row>
    <row r="7" spans="1:2">
      <c r="A7" s="7" t="s">
        <v>32</v>
      </c>
      <c r="B7">
        <v>1</v>
      </c>
    </row>
    <row r="8" spans="1:2">
      <c r="A8" s="7" t="s">
        <v>38</v>
      </c>
      <c r="B8">
        <v>1</v>
      </c>
    </row>
    <row r="9" spans="1:2">
      <c r="A9" s="7" t="s">
        <v>40</v>
      </c>
      <c r="B9">
        <v>1</v>
      </c>
    </row>
    <row r="10" spans="1:2">
      <c r="A10" s="7" t="s">
        <v>57</v>
      </c>
      <c r="B10">
        <v>12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2026-04-10T04:10:30Z</dcterms:created>
  <dcterms:modified xsi:type="dcterms:W3CDTF">2026-04-13T07:13:23Z</dcterms:modified>
  <cp:category/>
  <cp:contentStatus/>
</cp:coreProperties>
</file>