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laikatariq\DataAnalytics\week-01\"/>
    </mc:Choice>
  </mc:AlternateContent>
  <xr:revisionPtr revIDLastSave="0" documentId="8_{4B6A92C5-8516-4185-8DA7-A1C341D79687}" xr6:coauthVersionLast="47" xr6:coauthVersionMax="47" xr10:uidLastSave="{00000000-0000-0000-0000-000000000000}"/>
  <bookViews>
    <workbookView xWindow="-110" yWindow="-110" windowWidth="19420" windowHeight="11500" activeTab="2" xr2:uid="{B5B54495-4D56-474D-9857-64A8C47E2440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<sst xmlns="http://schemas.openxmlformats.org/spreadsheetml/2006/main" count="154" uniqueCount="69">
  <si>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</si>
  <si>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</si>
  <si>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</si>
  <si>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</si>
  <si>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</si>
  <si>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</si>
  <si>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</si>
  <si>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</si>
  <si>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</si>
  <si>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</si>
  <si>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</si>
  <si>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</si>
  <si>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</si>
  <si>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</si>
  <si>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</si>
  <si>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</si>
  <si>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</si>
  <si>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</si>
  <si>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</si>
  <si>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</si>
  <si>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</si>
  <si>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</si>
  <si>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</si>
  <si>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</si>
  <si>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</si>
  <si>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</si>
  <si>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</si>
  <si>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</si>
  <si>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</si>
  <si>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</si>
  <si>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</si>
  <si>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</si>
  <si>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</si>
  <si>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</si>
  <si>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</si>
  <si>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</si>
  <si>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</si>
  <si>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</si>
  <si>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</si>
  <si>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</si>
  <si>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</si>
  <si>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</si>
  <si>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</si>
  <si>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</si>
  <si>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</si>
  <si>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</si>
  <si>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</si>
  <si>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</si>
  <si>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</si>
  <si>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</si>
  <si>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</si>
  <si>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</si>
  <si>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# of regions </t>
  </si>
  <si>
    <t>RegionID</t>
  </si>
  <si>
    <t>Data Range</t>
  </si>
  <si>
    <t>2/1/24 - 2/28/25</t>
  </si>
  <si>
    <t>Hamburger</t>
  </si>
  <si>
    <t>Milkshake</t>
  </si>
  <si>
    <t>Breakup</t>
  </si>
  <si>
    <t>State</t>
  </si>
  <si>
    <t xml:space="preserve">Sales Region </t>
  </si>
  <si>
    <t>Northwest</t>
  </si>
  <si>
    <t>North Central</t>
  </si>
  <si>
    <t xml:space="preserve">Hamburger </t>
  </si>
  <si>
    <t>Row Labels</t>
  </si>
  <si>
    <t>Grand Total</t>
  </si>
  <si>
    <t xml:space="preserve">Sum of Hamburger 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</si>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</sst>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16" fillId="0" borderId="0" xfId="0" applyFont="1"/>
    <xf numFmtId="0" fontId="1" fillId="10" borderId="0" xfId="19"/>
    <xf numFmtId="14" fontId="0" fillId="0" borderId="0" xfId="0" applyNumberFormat="1"/>
    <xf numFmtId="0" fontId="10" fillId="33" borderId="5" xfId="10" applyFill="1"/>
    <xf numFmtId="14" fontId="10" fillId="33" borderId="5" xfId="10" applyNumberFormat="1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2-4BA3-8161-47975B8C7E9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2-4BA3-8161-47975B8C7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798799"/>
        <c:axId val="2093800239"/>
      </c:barChart>
      <c:catAx>
        <c:axId val="209379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00239"/>
        <c:crosses val="autoZero"/>
        <c:auto val="1"/>
        <c:lblAlgn val="ctr"/>
        <c:lblOffset val="100"/>
        <c:noMultiLvlLbl val="0"/>
      </c:catAx>
      <c:valAx>
        <c:axId val="20938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79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98654795874225"/>
          <c:y val="0.32080027653982918"/>
          <c:w val="0.18054813475377643"/>
          <c:h val="0.176274943292730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176390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7F05B-AB34-CEB4-6024-A90D8BA45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ika tariq" refreshedDate="46122.713512268521" createdVersion="8" refreshedVersion="8" minRefreshableVersion="3" recordCount="10" xr:uid="{5C35727A-3562-41C9-997D-C791E70DE65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 " numFmtId="0">
      <sharedItems count="2">
        <s v="Northwest"/>
        <s v="North Central"/>
      </sharedItems>
    </cacheField>
    <cacheField name="Hamburger 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FD32A-E8DF-4EE1-8EE5-EC884C986CF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 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1FCD-58A8-4FC5-BF7F-761ACE6C5BF8}">
  <dimension ref="A1:M52"/>
  <sheetViews>
    <sheetView workbookViewId="0">
      <pane ySplit="1" topLeftCell="A16" activePane="bottomLeft" state="frozen"/>
      <selection pane="bottomLeft" activeCell="O29" sqref="O29"/>
    </sheetView>
  </sheetViews>
  <sheetFormatPr defaultRowHeight="14.5" x14ac:dyDescent="0.35"/>
  <cols>
    <col min="1" max="1" width="10.6328125" bestFit="1" customWidth="1"/>
    <col min="2" max="2" width="17" bestFit="1" customWidth="1"/>
    <col min="3" max="3" width="12.36328125" bestFit="1" customWidth="1"/>
    <col min="4" max="4" width="11.6328125" bestFit="1" customWidth="1"/>
    <col min="5" max="5" width="10" bestFit="1" customWidth="1"/>
    <col min="7" max="7" width="11.26953125" bestFit="1" customWidth="1"/>
    <col min="10" max="10" width="10.26953125" bestFit="1" customWidth="1"/>
    <col min="11" max="11" width="13.81640625" bestFit="1" customWidth="1"/>
  </cols>
  <sheetData>
    <row r="1" spans="1:13" x14ac:dyDescent="0.35">
      <c r="A1" s="2" t="s">
        <v>53</v>
      </c>
      <c r="B1" s="2" t="s">
        <v>0</v>
      </c>
      <c r="C1" s="2" t="s">
        <v>56</v>
      </c>
      <c r="D1" s="2" t="s">
        <v>57</v>
      </c>
      <c r="E1" s="2" t="s">
        <v>58</v>
      </c>
      <c r="G1" s="3" t="s">
        <v>52</v>
      </c>
      <c r="H1" s="3">
        <f>COUNTA(B2:B52)</f>
        <v>51</v>
      </c>
      <c r="J1" s="5" t="s">
        <v>54</v>
      </c>
      <c r="K1" s="6" t="s">
        <v>55</v>
      </c>
      <c r="M1" s="4"/>
    </row>
    <row r="2" spans="1:13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3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3" x14ac:dyDescent="0.35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3" x14ac:dyDescent="0.35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3" x14ac:dyDescent="0.35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3" x14ac:dyDescent="0.35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3" x14ac:dyDescent="0.3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3" x14ac:dyDescent="0.35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3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3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3" x14ac:dyDescent="0.3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3" x14ac:dyDescent="0.35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3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3" x14ac:dyDescent="0.35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3" x14ac:dyDescent="0.3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F4801FCD-58A8-4FC5-BF7F-761ACE6C5B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4D15-49FC-48A0-9D11-0CF1E129D2C5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RowHeight="14.5" x14ac:dyDescent="0.35"/>
  <cols>
    <col min="1" max="1" width="10.08984375" bestFit="1" customWidth="1"/>
  </cols>
  <sheetData>
    <row r="1" spans="1:52" x14ac:dyDescent="0.35">
      <c r="A1" s="2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5">
      <c r="A2" s="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5">
      <c r="A3" s="2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5">
      <c r="A4" s="2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A669-390F-4126-BBFA-66F0A157B3DA}">
  <dimension ref="A1:D26"/>
  <sheetViews>
    <sheetView tabSelected="1" zoomScale="90" zoomScaleNormal="90" workbookViewId="0">
      <selection activeCell="E16" sqref="E16"/>
    </sheetView>
  </sheetViews>
  <sheetFormatPr defaultRowHeight="14.5" x14ac:dyDescent="0.35"/>
  <cols>
    <col min="1" max="1" width="12.81640625" bestFit="1" customWidth="1"/>
    <col min="2" max="2" width="17.26953125" bestFit="1" customWidth="1"/>
    <col min="3" max="3" width="15.81640625" bestFit="1" customWidth="1"/>
    <col min="4" max="4" width="9.6328125" bestFit="1" customWidth="1"/>
    <col min="5" max="5" width="9.54296875" bestFit="1" customWidth="1"/>
    <col min="6" max="6" width="11.81640625" bestFit="1" customWidth="1"/>
  </cols>
  <sheetData>
    <row r="1" spans="1:4" x14ac:dyDescent="0.35">
      <c r="A1" t="s">
        <v>59</v>
      </c>
      <c r="B1" t="s">
        <v>60</v>
      </c>
      <c r="C1" t="s">
        <v>63</v>
      </c>
      <c r="D1" t="s">
        <v>57</v>
      </c>
    </row>
    <row r="2" spans="1:4" x14ac:dyDescent="0.35">
      <c r="A2" t="s">
        <v>41</v>
      </c>
      <c r="B2" t="s">
        <v>61</v>
      </c>
      <c r="C2" s="7">
        <f>VLOOKUP('sales region lookup'!A2, 'by search term'!B:C, 2, FALSE)</f>
        <v>0.68</v>
      </c>
      <c r="D2" s="7">
        <f>_xlfn.XLOOKUP(A2, 'by search term'!B1:B52, 'by search term'!D1:D52, "not found")</f>
        <v>0.18</v>
      </c>
    </row>
    <row r="3" spans="1:4" x14ac:dyDescent="0.35">
      <c r="A3" t="s">
        <v>34</v>
      </c>
      <c r="B3" t="s">
        <v>61</v>
      </c>
      <c r="C3" s="7">
        <f>VLOOKUP('sales region lookup'!A3, 'by search term'!B:C, 2, FALSE)</f>
        <v>0.68</v>
      </c>
      <c r="D3" s="7">
        <f>_xlfn.XLOOKUP(A3, 'by search term'!B2:B53, 'by search term'!D2:D53, "not found")</f>
        <v>0.18</v>
      </c>
    </row>
    <row r="4" spans="1:4" x14ac:dyDescent="0.35">
      <c r="A4" t="s">
        <v>30</v>
      </c>
      <c r="B4" t="s">
        <v>61</v>
      </c>
      <c r="C4" s="7">
        <f>VLOOKUP('sales region lookup'!A4, 'by search term'!B:C, 2, FALSE)</f>
        <v>0.67</v>
      </c>
      <c r="D4" s="7">
        <f>_xlfn.XLOOKUP(A4, 'by search term'!B3:B54, 'by search term'!D3:D54, "not found")</f>
        <v>0.19</v>
      </c>
    </row>
    <row r="5" spans="1:4" x14ac:dyDescent="0.35">
      <c r="A5" t="s">
        <v>49</v>
      </c>
      <c r="B5" t="s">
        <v>61</v>
      </c>
      <c r="C5" s="7">
        <f>VLOOKUP('sales region lookup'!A5, 'by search term'!B:C, 2, FALSE)</f>
        <v>0.75</v>
      </c>
      <c r="D5" s="7">
        <f>_xlfn.XLOOKUP(A5, 'by search term'!B4:B55, 'by search term'!D4:D55, "not found")</f>
        <v>0.14000000000000001</v>
      </c>
    </row>
    <row r="6" spans="1:4" x14ac:dyDescent="0.35">
      <c r="A6" t="s">
        <v>35</v>
      </c>
      <c r="B6" t="s">
        <v>62</v>
      </c>
      <c r="C6" s="7">
        <f>VLOOKUP('sales region lookup'!A6, 'by search term'!B:C, 2, FALSE)</f>
        <v>0.69</v>
      </c>
      <c r="D6" s="7">
        <f>_xlfn.XLOOKUP(A6, 'by search term'!B5:B56, 'by search term'!D5:D56, "not found")</f>
        <v>0.19</v>
      </c>
    </row>
    <row r="7" spans="1:4" x14ac:dyDescent="0.35">
      <c r="A7" t="s">
        <v>44</v>
      </c>
      <c r="B7" t="s">
        <v>62</v>
      </c>
      <c r="C7" s="7">
        <f>VLOOKUP('sales region lookup'!A7, 'by search term'!B:C, 2, FALSE)</f>
        <v>0.75</v>
      </c>
      <c r="D7" s="7">
        <f>_xlfn.XLOOKUP(A7, 'by search term'!B6:B57, 'by search term'!D6:D57, "not found")</f>
        <v>0.14000000000000001</v>
      </c>
    </row>
    <row r="8" spans="1:4" x14ac:dyDescent="0.35">
      <c r="A8" t="s">
        <v>36</v>
      </c>
      <c r="B8" t="s">
        <v>62</v>
      </c>
      <c r="C8" s="7">
        <f>VLOOKUP('sales region lookup'!A8, 'by search term'!B:C, 2, FALSE)</f>
        <v>0.69</v>
      </c>
      <c r="D8" s="7">
        <f>_xlfn.XLOOKUP(A8, 'by search term'!B7:B58, 'by search term'!D7:D58, "not found")</f>
        <v>0.18</v>
      </c>
    </row>
    <row r="9" spans="1:4" x14ac:dyDescent="0.35">
      <c r="A9" t="s">
        <v>25</v>
      </c>
      <c r="B9" t="s">
        <v>62</v>
      </c>
      <c r="C9" s="7">
        <f>VLOOKUP('sales region lookup'!A9, 'by search term'!B:C, 2, FALSE)</f>
        <v>0.66</v>
      </c>
      <c r="D9" s="7">
        <f>_xlfn.XLOOKUP(A9, 'by search term'!B8:B59, 'by search term'!D8:D59, "not found")</f>
        <v>0.2</v>
      </c>
    </row>
    <row r="10" spans="1:4" x14ac:dyDescent="0.35">
      <c r="A10" t="s">
        <v>32</v>
      </c>
      <c r="B10" t="s">
        <v>62</v>
      </c>
      <c r="C10" s="7">
        <f>VLOOKUP('sales region lookup'!A10, 'by search term'!B:C, 2, FALSE)</f>
        <v>0.66</v>
      </c>
      <c r="D10" s="7">
        <f>_xlfn.XLOOKUP(A10, 'by search term'!B9:B60, 'by search term'!D9:D60, "not found")</f>
        <v>0.2</v>
      </c>
    </row>
    <row r="11" spans="1:4" x14ac:dyDescent="0.35">
      <c r="A11" t="s">
        <v>24</v>
      </c>
      <c r="B11" t="s">
        <v>62</v>
      </c>
      <c r="C11" s="7">
        <f>VLOOKUP('sales region lookup'!A11, 'by search term'!B:C, 2, FALSE)</f>
        <v>0.69</v>
      </c>
      <c r="D11" s="7">
        <f>_xlfn.XLOOKUP(A11, 'by search term'!B10:B61, 'by search term'!D10:D61, "not found")</f>
        <v>0.19</v>
      </c>
    </row>
    <row r="12" spans="1:4" x14ac:dyDescent="0.35">
      <c r="C12" s="7"/>
    </row>
    <row r="13" spans="1:4" x14ac:dyDescent="0.35">
      <c r="A13" s="8" t="s">
        <v>60</v>
      </c>
      <c r="B13" t="s">
        <v>68</v>
      </c>
      <c r="C13" s="7"/>
    </row>
    <row r="15" spans="1:4" x14ac:dyDescent="0.35">
      <c r="A15" s="8" t="s">
        <v>64</v>
      </c>
      <c r="B15" t="s">
        <v>66</v>
      </c>
      <c r="C15" t="s">
        <v>67</v>
      </c>
    </row>
    <row r="16" spans="1:4" x14ac:dyDescent="0.35">
      <c r="A16" s="9" t="s">
        <v>30</v>
      </c>
      <c r="B16" s="1">
        <v>0.67</v>
      </c>
      <c r="C16" s="1">
        <v>0.19</v>
      </c>
    </row>
    <row r="17" spans="1:3" x14ac:dyDescent="0.35">
      <c r="A17" s="9" t="s">
        <v>24</v>
      </c>
      <c r="B17" s="1">
        <v>0.69</v>
      </c>
      <c r="C17" s="1">
        <v>0.19</v>
      </c>
    </row>
    <row r="18" spans="1:3" x14ac:dyDescent="0.35">
      <c r="A18" s="9" t="s">
        <v>25</v>
      </c>
      <c r="B18" s="1">
        <v>0.66</v>
      </c>
      <c r="C18" s="1">
        <v>0.2</v>
      </c>
    </row>
    <row r="19" spans="1:3" x14ac:dyDescent="0.35">
      <c r="A19" s="9" t="s">
        <v>49</v>
      </c>
      <c r="B19" s="1">
        <v>0.75</v>
      </c>
      <c r="C19" s="1">
        <v>0.14000000000000001</v>
      </c>
    </row>
    <row r="20" spans="1:3" x14ac:dyDescent="0.35">
      <c r="A20" s="9" t="s">
        <v>36</v>
      </c>
      <c r="B20" s="1">
        <v>0.69</v>
      </c>
      <c r="C20" s="1">
        <v>0.18</v>
      </c>
    </row>
    <row r="21" spans="1:3" x14ac:dyDescent="0.35">
      <c r="A21" s="9" t="s">
        <v>35</v>
      </c>
      <c r="B21" s="1">
        <v>0.69</v>
      </c>
      <c r="C21" s="1">
        <v>0.19</v>
      </c>
    </row>
    <row r="22" spans="1:3" x14ac:dyDescent="0.35">
      <c r="A22" s="9" t="s">
        <v>34</v>
      </c>
      <c r="B22" s="1">
        <v>0.68</v>
      </c>
      <c r="C22" s="1">
        <v>0.18</v>
      </c>
    </row>
    <row r="23" spans="1:3" x14ac:dyDescent="0.35">
      <c r="A23" s="9" t="s">
        <v>44</v>
      </c>
      <c r="B23" s="1">
        <v>0.75</v>
      </c>
      <c r="C23" s="1">
        <v>0.14000000000000001</v>
      </c>
    </row>
    <row r="24" spans="1:3" x14ac:dyDescent="0.35">
      <c r="A24" s="9" t="s">
        <v>41</v>
      </c>
      <c r="B24" s="1">
        <v>0.68</v>
      </c>
      <c r="C24" s="1">
        <v>0.18</v>
      </c>
    </row>
    <row r="25" spans="1:3" x14ac:dyDescent="0.35">
      <c r="A25" s="9" t="s">
        <v>32</v>
      </c>
      <c r="B25" s="1">
        <v>0.66</v>
      </c>
      <c r="C25" s="1">
        <v>0.2</v>
      </c>
    </row>
    <row r="26" spans="1:3" x14ac:dyDescent="0.35">
      <c r="A26" s="9" t="s">
        <v>65</v>
      </c>
      <c r="B26" s="1">
        <v>6.92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tariq</dc:creator>
  <cp:lastModifiedBy>malaika tariq</cp:lastModifiedBy>
  <dcterms:created xsi:type="dcterms:W3CDTF">2026-04-09T15:50:00Z</dcterms:created>
  <dcterms:modified xsi:type="dcterms:W3CDTF">2026-04-11T00:14:23Z</dcterms:modified>
</cp:coreProperties>
</file>